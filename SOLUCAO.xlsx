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TRABALHO\"/>
    </mc:Choice>
  </mc:AlternateContent>
  <xr:revisionPtr revIDLastSave="0" documentId="13_ncr:1_{01885300-0BD9-4349-9392-C564A5AAD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nam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1" l="1"/>
  <c r="G88" i="1"/>
  <c r="H88" i="1"/>
  <c r="I88" i="1"/>
  <c r="J88" i="1"/>
  <c r="K88" i="1"/>
  <c r="L88" i="1"/>
  <c r="M88" i="1"/>
  <c r="N88" i="1"/>
  <c r="O88" i="1"/>
  <c r="P88" i="1"/>
  <c r="Q88" i="1"/>
  <c r="E88" i="1"/>
</calcChain>
</file>

<file path=xl/sharedStrings.xml><?xml version="1.0" encoding="utf-8"?>
<sst xmlns="http://schemas.openxmlformats.org/spreadsheetml/2006/main" count="348" uniqueCount="277">
  <si>
    <t>MUNICÍPIO DE JUPI</t>
  </si>
  <si>
    <t>EMPRESA: FUNDAÇÃO VIDA | CNPJ: 30.091.618/0001-75</t>
  </si>
  <si>
    <t>RELATÓRIO DINÂMICO CUSTOMIZADO</t>
  </si>
  <si>
    <t>Competência: 07/2026 | Folha: CONSOLIDAÇÃO - TODAS AS FOLHAS | Status: MÚLTIPLOS</t>
  </si>
  <si>
    <t>Filtros: Todas as categorias</t>
  </si>
  <si>
    <t>Matrícula</t>
  </si>
  <si>
    <t>Nome do Cooperado</t>
  </si>
  <si>
    <t>CPF</t>
  </si>
  <si>
    <t>Cargo</t>
  </si>
  <si>
    <t>PROD. COOPERADO JUPI</t>
  </si>
  <si>
    <t>HORA EXTRA</t>
  </si>
  <si>
    <t>INSS</t>
  </si>
  <si>
    <t>IRRF</t>
  </si>
  <si>
    <t>DIF PRODUTIVIDADE</t>
  </si>
  <si>
    <t>PISO ENFERMAGEM</t>
  </si>
  <si>
    <t>PREVINE</t>
  </si>
  <si>
    <t>gratificção</t>
  </si>
  <si>
    <t>ad noturno</t>
  </si>
  <si>
    <t>insalubridade</t>
  </si>
  <si>
    <t>PLANTÃO EXTRA</t>
  </si>
  <si>
    <t>EXTRA VIAGENS</t>
  </si>
  <si>
    <t>Total Líquido</t>
  </si>
  <si>
    <t>00005</t>
  </si>
  <si>
    <t>ALDA LUCIA SEVERIANO LOPES</t>
  </si>
  <si>
    <t>511.916.104-97</t>
  </si>
  <si>
    <t>PLANEJAMENTO</t>
  </si>
  <si>
    <t>00008</t>
  </si>
  <si>
    <t>ALINE SILVA ALVES</t>
  </si>
  <si>
    <t>120.159.874-52</t>
  </si>
  <si>
    <t>RECEPCIONISTA</t>
  </si>
  <si>
    <t>00011</t>
  </si>
  <si>
    <t>ALTEMAR ALMEIDA DA SILVA SILVEIRO</t>
  </si>
  <si>
    <t>061.994.074-31</t>
  </si>
  <si>
    <t>MOTORISTA</t>
  </si>
  <si>
    <t>00187</t>
  </si>
  <si>
    <t>ANNA TATIELE GOMES DE LIM</t>
  </si>
  <si>
    <t>091.714.744-80</t>
  </si>
  <si>
    <t>00035</t>
  </si>
  <si>
    <t>CAMILA CORREIRA DE OLIVEIRA</t>
  </si>
  <si>
    <t>717.371.814-79</t>
  </si>
  <si>
    <t>SERVIÇOS GERAIS</t>
  </si>
  <si>
    <t>00036</t>
  </si>
  <si>
    <t>CARLOS ANDRE VIEIRA DA SILVA</t>
  </si>
  <si>
    <t>161.545.964-21</t>
  </si>
  <si>
    <t>COZINHEIRA</t>
  </si>
  <si>
    <t>00037</t>
  </si>
  <si>
    <t>CIBELLY VILACA RIBEIRO</t>
  </si>
  <si>
    <t>073.917.474-67</t>
  </si>
  <si>
    <t>AUXILIAR ADMINISTRATIVO</t>
  </si>
  <si>
    <t>00040</t>
  </si>
  <si>
    <t>CICERO KESIO INACIO</t>
  </si>
  <si>
    <t>093.787.944-40</t>
  </si>
  <si>
    <t>VIGIA</t>
  </si>
  <si>
    <t>00041</t>
  </si>
  <si>
    <t>CICERO MATHEUS LEITE MATOS</t>
  </si>
  <si>
    <t>152.539.434-71</t>
  </si>
  <si>
    <t>AUXILIAR DE SERVICOS GERAIS</t>
  </si>
  <si>
    <t>00043</t>
  </si>
  <si>
    <t>CLAUDIANO GOMES TORQUATO</t>
  </si>
  <si>
    <t>091.132.774-64</t>
  </si>
  <si>
    <t>00044</t>
  </si>
  <si>
    <t>CRISLEIDE BESERRA SAMPAIO</t>
  </si>
  <si>
    <t>096.706.474-01</t>
  </si>
  <si>
    <t>SERVICOS GERAIS</t>
  </si>
  <si>
    <t>00045</t>
  </si>
  <si>
    <t>CRISTINA JOSEFA GOMES</t>
  </si>
  <si>
    <t>080.680.584-60</t>
  </si>
  <si>
    <t>00047</t>
  </si>
  <si>
    <t>DANILO DA SILVA ARAUJO</t>
  </si>
  <si>
    <t>151.758.814-69</t>
  </si>
  <si>
    <t>00048</t>
  </si>
  <si>
    <t>DAVID LIBERATO OLIVEIRA NETO</t>
  </si>
  <si>
    <t>082.181.724-83</t>
  </si>
  <si>
    <t>00049</t>
  </si>
  <si>
    <t>DAVILA VANESSA FERREIRA DE MOARES MARTINELLE</t>
  </si>
  <si>
    <t>110.426.254-17</t>
  </si>
  <si>
    <t>00058</t>
  </si>
  <si>
    <t>EDINALDA SILVA COUTO</t>
  </si>
  <si>
    <t>078.033.944-42</t>
  </si>
  <si>
    <t>MOTOBOY</t>
  </si>
  <si>
    <t>00060</t>
  </si>
  <si>
    <t>ELISANDRA DE CASSIA OLIVEIRA</t>
  </si>
  <si>
    <t>892.345.374-91</t>
  </si>
  <si>
    <t>00061</t>
  </si>
  <si>
    <t>EMONALI LUIZA DA SILVA</t>
  </si>
  <si>
    <t>367.125.528-50</t>
  </si>
  <si>
    <t>00063</t>
  </si>
  <si>
    <t>FLAVIO FERREIRA DE LIMA</t>
  </si>
  <si>
    <t>119.615.364-71</t>
  </si>
  <si>
    <t>00064</t>
  </si>
  <si>
    <t>FRANCIELE APARECIDA DA SILVA GOMES</t>
  </si>
  <si>
    <t>107.458.624-70</t>
  </si>
  <si>
    <t>REGULAÇÃO</t>
  </si>
  <si>
    <t>00067</t>
  </si>
  <si>
    <t>GIRLAN JOSE DE MELO</t>
  </si>
  <si>
    <t>086.837.144-03</t>
  </si>
  <si>
    <t>00197</t>
  </si>
  <si>
    <t>GLEICE VIULANINY FERREIRA DE AMORIM</t>
  </si>
  <si>
    <t>710.706.734-63</t>
  </si>
  <si>
    <t>00069</t>
  </si>
  <si>
    <t>HENRIQUE TAUA SARAIVA DA SILVA</t>
  </si>
  <si>
    <t>155.029.844-51</t>
  </si>
  <si>
    <t>00071</t>
  </si>
  <si>
    <t>IGOR RODRIGUES OLIVEIRA</t>
  </si>
  <si>
    <t>122.888.824-84</t>
  </si>
  <si>
    <t>FARMACEUTICO</t>
  </si>
  <si>
    <t>00076</t>
  </si>
  <si>
    <t>ISAEL CORDEIRO VILELA FREIRE</t>
  </si>
  <si>
    <t>718.362.664-48</t>
  </si>
  <si>
    <t>00080</t>
  </si>
  <si>
    <t>JAQUELINE DA SILVA MENDES</t>
  </si>
  <si>
    <t>119.905.484-40</t>
  </si>
  <si>
    <t>00081</t>
  </si>
  <si>
    <t>JEFFERSON SILVA VENANCIO DE FREITAS</t>
  </si>
  <si>
    <t>093.544.614-17</t>
  </si>
  <si>
    <t>00082</t>
  </si>
  <si>
    <t>JESSE CORDEIRO SOBRAL FILHO</t>
  </si>
  <si>
    <t>585.884.504-53</t>
  </si>
  <si>
    <t>00083</t>
  </si>
  <si>
    <t>JOELMA RODRIGUES DOS SANTOS</t>
  </si>
  <si>
    <t>045.913.374-80</t>
  </si>
  <si>
    <t>VIGILANCIA SANITARIA</t>
  </si>
  <si>
    <t>00084</t>
  </si>
  <si>
    <t>JOSEFA HEMONALY SILVA DOMINGOS</t>
  </si>
  <si>
    <t>101.228.484-03</t>
  </si>
  <si>
    <t>00087</t>
  </si>
  <si>
    <t>JOSENILDA INACIO DA SILVA</t>
  </si>
  <si>
    <t>042.218.544-21</t>
  </si>
  <si>
    <t>00181</t>
  </si>
  <si>
    <t>JOSENILDO AMARO DE ARAUJO</t>
  </si>
  <si>
    <t>086.893.204-31</t>
  </si>
  <si>
    <t>00088</t>
  </si>
  <si>
    <t>JOSENILDO BATISTA MARINHO</t>
  </si>
  <si>
    <t>039.738.934-54</t>
  </si>
  <si>
    <t>00093</t>
  </si>
  <si>
    <t>KAYK GOMES DA SILVA</t>
  </si>
  <si>
    <t>141.973.624-80</t>
  </si>
  <si>
    <t>AGENTE COMUNITARIO DE SAUDE</t>
  </si>
  <si>
    <t>00094</t>
  </si>
  <si>
    <t>KELLY ALVES MATSUOKA</t>
  </si>
  <si>
    <t>062.431.554-12</t>
  </si>
  <si>
    <t>00200</t>
  </si>
  <si>
    <t xml:space="preserve">LARISSA DANIELLE DA ROCHA ALENCAR </t>
  </si>
  <si>
    <t>116.721.234-70</t>
  </si>
  <si>
    <t>00096</t>
  </si>
  <si>
    <t>LAUDECI VENANCIO DOS SANTOS</t>
  </si>
  <si>
    <t>107.413.408-79</t>
  </si>
  <si>
    <t>00097</t>
  </si>
  <si>
    <t>LIDIA CORREIA DE MOURA BARBOSA</t>
  </si>
  <si>
    <t>105.388.064-27</t>
  </si>
  <si>
    <t>00098</t>
  </si>
  <si>
    <t>LISANE MAGNA DA SILVA</t>
  </si>
  <si>
    <t>111.693.344-66</t>
  </si>
  <si>
    <t>00099</t>
  </si>
  <si>
    <t>LIVIA DA SILVA</t>
  </si>
  <si>
    <t>068.259.834-82</t>
  </si>
  <si>
    <t>00100</t>
  </si>
  <si>
    <t>LUAN ALVES DOS SANTOS</t>
  </si>
  <si>
    <t>120.151.544-00</t>
  </si>
  <si>
    <t>MOTOCICLISTA</t>
  </si>
  <si>
    <t>00101</t>
  </si>
  <si>
    <t>LUANA PATRICIA GOMES DA SILVA</t>
  </si>
  <si>
    <t>106.822.764-80</t>
  </si>
  <si>
    <t>AUXILIAR DE FARMACIA</t>
  </si>
  <si>
    <t>00104</t>
  </si>
  <si>
    <t>LUCIANO ARAUJO</t>
  </si>
  <si>
    <t>286.551.358-01</t>
  </si>
  <si>
    <t>00107</t>
  </si>
  <si>
    <t>MARCIA QUITERIA DA SILVA PAES</t>
  </si>
  <si>
    <t>008.696.544-11</t>
  </si>
  <si>
    <t>00109</t>
  </si>
  <si>
    <t>MARIA APARECIDA DA SILVA LIRA</t>
  </si>
  <si>
    <t>029.461.944-50</t>
  </si>
  <si>
    <t>00111</t>
  </si>
  <si>
    <t>MARIA APARECIDA VIEIRA DA SILVA</t>
  </si>
  <si>
    <t>859.184.074-72</t>
  </si>
  <si>
    <t>00114</t>
  </si>
  <si>
    <t>MARIA DO CARMO SILVA DE MACEDO</t>
  </si>
  <si>
    <t>859.175.324-00</t>
  </si>
  <si>
    <t>00113</t>
  </si>
  <si>
    <t>MARIA DO ROSARIO JOANA DA CONCEICAO</t>
  </si>
  <si>
    <t>859.164.554-53</t>
  </si>
  <si>
    <t>AUXILIAR DE CASA DE APOIO</t>
  </si>
  <si>
    <t>00188</t>
  </si>
  <si>
    <t>MARIA ELIANE DA SILVA</t>
  </si>
  <si>
    <t>063.179.304-65</t>
  </si>
  <si>
    <t>00118</t>
  </si>
  <si>
    <t>MARIA JAIENE DA SILVA</t>
  </si>
  <si>
    <t>107.075.414-50</t>
  </si>
  <si>
    <t>EDUCADORA FISICA</t>
  </si>
  <si>
    <t>00119</t>
  </si>
  <si>
    <t>MARIA JUSTINO GOMES</t>
  </si>
  <si>
    <t>046.463.684-12</t>
  </si>
  <si>
    <t>00120</t>
  </si>
  <si>
    <t>MARIA LUCIENE DA SILVA ALMEIDA</t>
  </si>
  <si>
    <t>045.859.204-80</t>
  </si>
  <si>
    <t>00124</t>
  </si>
  <si>
    <t>MARILENE FLORENCIO DA SILVA</t>
  </si>
  <si>
    <t>088.383.554-10</t>
  </si>
  <si>
    <t>00125</t>
  </si>
  <si>
    <t>MARILENE SILVINO DA SILVA FERREIRA</t>
  </si>
  <si>
    <t>046.858.894-95</t>
  </si>
  <si>
    <t>00126</t>
  </si>
  <si>
    <t>MATHEUS FELIPE DA SILVA</t>
  </si>
  <si>
    <t>716.273.874-55</t>
  </si>
  <si>
    <t>COORDENADOR DE TRANSPORTES</t>
  </si>
  <si>
    <t>00129</t>
  </si>
  <si>
    <t>NADJA BELO DA SILVA</t>
  </si>
  <si>
    <t>103.947.324-56</t>
  </si>
  <si>
    <t>VIGILANTE</t>
  </si>
  <si>
    <t>00131</t>
  </si>
  <si>
    <t>NATALIA TOBIAS ROCHA</t>
  </si>
  <si>
    <t>101.820.424-56</t>
  </si>
  <si>
    <t>00136</t>
  </si>
  <si>
    <t>ONEILDO GOMES DE MORAES</t>
  </si>
  <si>
    <t>742.296.214-34</t>
  </si>
  <si>
    <t>00139</t>
  </si>
  <si>
    <t>PAULA MARTINELLE MORAIS DA SILVA</t>
  </si>
  <si>
    <t>081.814.504-85</t>
  </si>
  <si>
    <t>00144</t>
  </si>
  <si>
    <t>RAFAELA SILVA MATIAS</t>
  </si>
  <si>
    <t>093.544.394-03</t>
  </si>
  <si>
    <t>00146</t>
  </si>
  <si>
    <t>RANIELI DOS SANTOS SOARES</t>
  </si>
  <si>
    <t>107.156.124-33</t>
  </si>
  <si>
    <t>00148</t>
  </si>
  <si>
    <t>RAYANE FEFFEIRA SILVA SANTOS</t>
  </si>
  <si>
    <t>099.468.594-75</t>
  </si>
  <si>
    <t>00204</t>
  </si>
  <si>
    <t>RENATO ALVES DA SILVA</t>
  </si>
  <si>
    <t>098.378.194-05</t>
  </si>
  <si>
    <t>00150</t>
  </si>
  <si>
    <t>RENATO FERREIRA DOS SANTOS</t>
  </si>
  <si>
    <t>711.317.374-82</t>
  </si>
  <si>
    <t>00151</t>
  </si>
  <si>
    <t>RENNE ALYSSON ALVES DE MELO</t>
  </si>
  <si>
    <t>013.518.724-94</t>
  </si>
  <si>
    <t>00152</t>
  </si>
  <si>
    <t>ROBERIO VIANA FRANCA</t>
  </si>
  <si>
    <t>111.301.384-29</t>
  </si>
  <si>
    <t>00157</t>
  </si>
  <si>
    <t>SAMUEL COSTA SILVA</t>
  </si>
  <si>
    <t>167.271.824-42</t>
  </si>
  <si>
    <t>00211</t>
  </si>
  <si>
    <t>SAMUEL JOELSON DA SILVA</t>
  </si>
  <si>
    <t>101.921.434-17</t>
  </si>
  <si>
    <t>00159</t>
  </si>
  <si>
    <t>SAULO RICARDO CORDEIRO DE BARROS</t>
  </si>
  <si>
    <t>055.408.474-07</t>
  </si>
  <si>
    <t>EDUCADOR FISICO</t>
  </si>
  <si>
    <t>00162</t>
  </si>
  <si>
    <t>TATIANE DA SILVA AZEVEDO</t>
  </si>
  <si>
    <t>068.369.484-70</t>
  </si>
  <si>
    <t>00164</t>
  </si>
  <si>
    <t>THAIENY EMANOELLEY DA SILVA</t>
  </si>
  <si>
    <t>508.944.938-41</t>
  </si>
  <si>
    <t>00198</t>
  </si>
  <si>
    <t>TIAGO BEZERRA DE SA</t>
  </si>
  <si>
    <t>014.148.254-04</t>
  </si>
  <si>
    <t>SEGURANÇA DO TRABALHO</t>
  </si>
  <si>
    <t>00166</t>
  </si>
  <si>
    <t>VALDERICE MARIA DE LIMA</t>
  </si>
  <si>
    <t>110.932.624-60</t>
  </si>
  <si>
    <t>00168</t>
  </si>
  <si>
    <t>VIRGINIA PONTES MEDEIROS</t>
  </si>
  <si>
    <t>039.526.644-05</t>
  </si>
  <si>
    <t>FARMACÊUTICO</t>
  </si>
  <si>
    <t>00169</t>
  </si>
  <si>
    <t>WALKECIO OLIVEIRA DE ALMEIDA</t>
  </si>
  <si>
    <t>026.937.694-18</t>
  </si>
  <si>
    <t>00189</t>
  </si>
  <si>
    <t>WELLIGTON VIEIRA ARAUJO</t>
  </si>
  <si>
    <t>082.240.574-10</t>
  </si>
  <si>
    <t>00170</t>
  </si>
  <si>
    <t>WELMA EVARISTO BENVINDO</t>
  </si>
  <si>
    <t>104.227.154-25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</si>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</sst>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A58" zoomScale="85" zoomScaleNormal="85" workbookViewId="0">
      <selection activeCell="S87" sqref="S87"/>
    </sheetView>
  </sheetViews>
  <sheetFormatPr defaultRowHeight="15.75" x14ac:dyDescent="0.25"/>
  <cols>
    <col min="1" max="1" width="18.875" customWidth="1"/>
    <col min="2" max="2" width="45.875" customWidth="1"/>
    <col min="3" max="4" width="18.875" customWidth="1"/>
    <col min="5" max="5" width="24.875" customWidth="1"/>
    <col min="6" max="8" width="18.875" customWidth="1"/>
    <col min="9" max="9" width="21.875" customWidth="1"/>
    <col min="10" max="10" width="19.875" customWidth="1"/>
    <col min="11" max="17" width="18.87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7" spans="1:17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</row>
    <row r="8" spans="1:17" x14ac:dyDescent="0.25">
      <c r="A8" t="s">
        <v>22</v>
      </c>
      <c r="B8" t="s">
        <v>23</v>
      </c>
      <c r="C8" t="s">
        <v>24</v>
      </c>
      <c r="D8" t="s">
        <v>25</v>
      </c>
      <c r="E8" s="1">
        <v>7000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7000</v>
      </c>
    </row>
    <row r="9" spans="1:17" x14ac:dyDescent="0.25">
      <c r="A9" t="s">
        <v>26</v>
      </c>
      <c r="B9" t="s">
        <v>27</v>
      </c>
      <c r="C9" t="s">
        <v>28</v>
      </c>
      <c r="D9" t="s">
        <v>29</v>
      </c>
      <c r="E9" s="1">
        <v>522.5</v>
      </c>
      <c r="F9" s="1">
        <v>0</v>
      </c>
      <c r="G9" s="1">
        <v>240.41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1945.2</v>
      </c>
    </row>
    <row r="10" spans="1:17" x14ac:dyDescent="0.25">
      <c r="A10" t="s">
        <v>30</v>
      </c>
      <c r="B10" t="s">
        <v>31</v>
      </c>
      <c r="C10" t="s">
        <v>32</v>
      </c>
      <c r="D10" t="s">
        <v>33</v>
      </c>
      <c r="E10" s="1">
        <v>3201.57</v>
      </c>
      <c r="F10" s="1">
        <v>0</v>
      </c>
      <c r="G10" s="1">
        <v>352.17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2849.4</v>
      </c>
    </row>
    <row r="11" spans="1:17" x14ac:dyDescent="0.25">
      <c r="A11" t="s">
        <v>34</v>
      </c>
      <c r="B11" t="s">
        <v>35</v>
      </c>
      <c r="C11" t="s">
        <v>36</v>
      </c>
      <c r="D11" t="s">
        <v>29</v>
      </c>
      <c r="E11" s="1">
        <v>2185.61</v>
      </c>
      <c r="F11" s="1">
        <v>0</v>
      </c>
      <c r="G11" s="1">
        <v>240.41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1945.2</v>
      </c>
    </row>
    <row r="12" spans="1:17" x14ac:dyDescent="0.25">
      <c r="A12" t="s">
        <v>37</v>
      </c>
      <c r="B12" t="s">
        <v>38</v>
      </c>
      <c r="C12" t="s">
        <v>39</v>
      </c>
      <c r="D12" t="s">
        <v>40</v>
      </c>
      <c r="E12" s="1">
        <v>2185.61</v>
      </c>
      <c r="F12" s="1">
        <v>0</v>
      </c>
      <c r="G12" s="1">
        <v>240.41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1945.2</v>
      </c>
    </row>
    <row r="13" spans="1:17" x14ac:dyDescent="0.25">
      <c r="A13" t="s">
        <v>41</v>
      </c>
      <c r="B13" t="s">
        <v>42</v>
      </c>
      <c r="C13" t="s">
        <v>43</v>
      </c>
      <c r="D13" t="s">
        <v>44</v>
      </c>
      <c r="E13" s="1">
        <v>2297.98</v>
      </c>
      <c r="F13" s="1">
        <v>0</v>
      </c>
      <c r="G13" s="1">
        <v>252.77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2045.21</v>
      </c>
    </row>
    <row r="14" spans="1:17" x14ac:dyDescent="0.25">
      <c r="A14" t="s">
        <v>45</v>
      </c>
      <c r="B14" t="s">
        <v>46</v>
      </c>
      <c r="C14" t="s">
        <v>47</v>
      </c>
      <c r="D14" t="s">
        <v>48</v>
      </c>
      <c r="E14" s="1">
        <v>2410.33</v>
      </c>
      <c r="F14" s="1">
        <v>0</v>
      </c>
      <c r="G14" s="1">
        <v>265.13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2145.1999999999998</v>
      </c>
    </row>
    <row r="15" spans="1:17" x14ac:dyDescent="0.25">
      <c r="A15" t="s">
        <v>49</v>
      </c>
      <c r="B15" t="s">
        <v>50</v>
      </c>
      <c r="C15" t="s">
        <v>51</v>
      </c>
      <c r="D15" t="s">
        <v>52</v>
      </c>
      <c r="E15" s="1">
        <v>2549.88</v>
      </c>
      <c r="F15" s="1">
        <v>0</v>
      </c>
      <c r="G15" s="1">
        <v>280.48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2269.4</v>
      </c>
    </row>
    <row r="16" spans="1:17" x14ac:dyDescent="0.25">
      <c r="A16" t="s">
        <v>53</v>
      </c>
      <c r="B16" t="s">
        <v>54</v>
      </c>
      <c r="C16" t="s">
        <v>55</v>
      </c>
      <c r="D16" t="s">
        <v>56</v>
      </c>
      <c r="E16" s="1">
        <v>2185.61</v>
      </c>
      <c r="F16" s="1">
        <v>0</v>
      </c>
      <c r="G16" s="1">
        <v>240.41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1945.2</v>
      </c>
    </row>
    <row r="17" spans="1:17" x14ac:dyDescent="0.25">
      <c r="A17" t="s">
        <v>57</v>
      </c>
      <c r="B17" t="s">
        <v>58</v>
      </c>
      <c r="C17" t="s">
        <v>59</v>
      </c>
      <c r="D17" t="s">
        <v>52</v>
      </c>
      <c r="E17" s="1">
        <v>2549.88</v>
      </c>
      <c r="F17" s="1">
        <v>0</v>
      </c>
      <c r="G17" s="1">
        <v>280.48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2269.4</v>
      </c>
    </row>
    <row r="18" spans="1:17" x14ac:dyDescent="0.25">
      <c r="A18" t="s">
        <v>60</v>
      </c>
      <c r="B18" t="s">
        <v>61</v>
      </c>
      <c r="C18" t="s">
        <v>62</v>
      </c>
      <c r="D18" t="s">
        <v>63</v>
      </c>
      <c r="E18" s="1">
        <v>2185.61</v>
      </c>
      <c r="F18" s="1">
        <v>0</v>
      </c>
      <c r="G18" s="1">
        <v>240.41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1945.2</v>
      </c>
    </row>
    <row r="19" spans="1:17" x14ac:dyDescent="0.25">
      <c r="A19" t="s">
        <v>64</v>
      </c>
      <c r="B19" t="s">
        <v>65</v>
      </c>
      <c r="C19" t="s">
        <v>66</v>
      </c>
      <c r="D19" t="s">
        <v>44</v>
      </c>
      <c r="E19" s="1">
        <v>2297.98</v>
      </c>
      <c r="F19" s="1">
        <v>0</v>
      </c>
      <c r="G19" s="1">
        <v>252.77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2045.21</v>
      </c>
    </row>
    <row r="20" spans="1:17" x14ac:dyDescent="0.25">
      <c r="A20" t="s">
        <v>67</v>
      </c>
      <c r="B20" t="s">
        <v>68</v>
      </c>
      <c r="C20" t="s">
        <v>69</v>
      </c>
      <c r="D20" t="s">
        <v>48</v>
      </c>
      <c r="E20" s="1">
        <v>2247.1799999999998</v>
      </c>
      <c r="F20" s="1">
        <v>0</v>
      </c>
      <c r="G20" s="1">
        <v>247.18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2000</v>
      </c>
    </row>
    <row r="21" spans="1:17" x14ac:dyDescent="0.25">
      <c r="A21" t="s">
        <v>70</v>
      </c>
      <c r="B21" t="s">
        <v>71</v>
      </c>
      <c r="C21" t="s">
        <v>72</v>
      </c>
      <c r="D21" t="s">
        <v>33</v>
      </c>
      <c r="E21" s="1">
        <v>3651.57</v>
      </c>
      <c r="F21" s="1">
        <v>0</v>
      </c>
      <c r="G21" s="1">
        <v>401.67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3249.9</v>
      </c>
    </row>
    <row r="22" spans="1:17" x14ac:dyDescent="0.25">
      <c r="A22" t="s">
        <v>73</v>
      </c>
      <c r="B22" t="s">
        <v>74</v>
      </c>
      <c r="C22" t="s">
        <v>75</v>
      </c>
      <c r="D22" t="s">
        <v>33</v>
      </c>
      <c r="E22" s="1">
        <v>2387.86</v>
      </c>
      <c r="F22" s="1">
        <v>0</v>
      </c>
      <c r="G22" s="1">
        <v>262.66000000000003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2125.1999999999998</v>
      </c>
    </row>
    <row r="23" spans="1:17" x14ac:dyDescent="0.25">
      <c r="A23" t="s">
        <v>76</v>
      </c>
      <c r="B23" t="s">
        <v>77</v>
      </c>
      <c r="C23" t="s">
        <v>78</v>
      </c>
      <c r="D23" t="s">
        <v>79</v>
      </c>
      <c r="E23" s="1">
        <v>2174.38</v>
      </c>
      <c r="F23" s="1">
        <v>0</v>
      </c>
      <c r="G23" s="1">
        <v>239.18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1935.2</v>
      </c>
    </row>
    <row r="24" spans="1:17" x14ac:dyDescent="0.25">
      <c r="A24" t="s">
        <v>80</v>
      </c>
      <c r="B24" t="s">
        <v>81</v>
      </c>
      <c r="C24" t="s">
        <v>82</v>
      </c>
      <c r="D24" t="s">
        <v>33</v>
      </c>
      <c r="E24" s="1">
        <v>2549.89</v>
      </c>
      <c r="F24" s="1">
        <v>0</v>
      </c>
      <c r="G24" s="1">
        <v>280.48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2269.41</v>
      </c>
    </row>
    <row r="25" spans="1:17" x14ac:dyDescent="0.25">
      <c r="A25" t="s">
        <v>83</v>
      </c>
      <c r="B25" t="s">
        <v>84</v>
      </c>
      <c r="C25" t="s">
        <v>85</v>
      </c>
      <c r="D25" t="s">
        <v>44</v>
      </c>
      <c r="E25" s="1">
        <v>2297.98</v>
      </c>
      <c r="F25" s="1">
        <v>0</v>
      </c>
      <c r="G25" s="1">
        <v>252.77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2045.21</v>
      </c>
    </row>
    <row r="26" spans="1:17" x14ac:dyDescent="0.25">
      <c r="A26" t="s">
        <v>86</v>
      </c>
      <c r="B26" t="s">
        <v>87</v>
      </c>
      <c r="C26" t="s">
        <v>88</v>
      </c>
      <c r="D26" t="s">
        <v>33</v>
      </c>
      <c r="E26" s="1">
        <v>3377.52</v>
      </c>
      <c r="F26" s="1">
        <v>0</v>
      </c>
      <c r="G26" s="1">
        <v>371.52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3006</v>
      </c>
    </row>
    <row r="27" spans="1:17" x14ac:dyDescent="0.25">
      <c r="A27" t="s">
        <v>89</v>
      </c>
      <c r="B27" t="s">
        <v>90</v>
      </c>
      <c r="C27" t="s">
        <v>91</v>
      </c>
      <c r="D27" t="s">
        <v>92</v>
      </c>
      <c r="E27" s="1">
        <v>2185.61</v>
      </c>
      <c r="F27" s="1">
        <v>0</v>
      </c>
      <c r="G27" s="1">
        <v>240.41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1945.2</v>
      </c>
    </row>
    <row r="28" spans="1:17" x14ac:dyDescent="0.25">
      <c r="A28" t="s">
        <v>93</v>
      </c>
      <c r="B28" t="s">
        <v>94</v>
      </c>
      <c r="C28" t="s">
        <v>95</v>
      </c>
      <c r="D28" t="s">
        <v>33</v>
      </c>
      <c r="E28" s="1">
        <v>2549.88</v>
      </c>
      <c r="F28" s="1">
        <v>0</v>
      </c>
      <c r="G28" s="1">
        <v>280.48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2269.4</v>
      </c>
    </row>
    <row r="29" spans="1:17" x14ac:dyDescent="0.25">
      <c r="A29" t="s">
        <v>96</v>
      </c>
      <c r="B29" t="s">
        <v>97</v>
      </c>
      <c r="C29" t="s">
        <v>98</v>
      </c>
      <c r="D29" t="s">
        <v>29</v>
      </c>
      <c r="E29" s="1">
        <v>2185.61</v>
      </c>
      <c r="F29" s="1">
        <v>0</v>
      </c>
      <c r="G29" s="1">
        <v>240.41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1945.2</v>
      </c>
    </row>
    <row r="30" spans="1:17" x14ac:dyDescent="0.25">
      <c r="A30" t="s">
        <v>99</v>
      </c>
      <c r="B30" t="s">
        <v>100</v>
      </c>
      <c r="C30" t="s">
        <v>101</v>
      </c>
      <c r="D30" t="s">
        <v>29</v>
      </c>
      <c r="E30" s="1">
        <v>2185.61</v>
      </c>
      <c r="F30" s="1">
        <v>0</v>
      </c>
      <c r="G30" s="1">
        <v>240.41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1945.2</v>
      </c>
    </row>
    <row r="31" spans="1:17" x14ac:dyDescent="0.25">
      <c r="A31" t="s">
        <v>102</v>
      </c>
      <c r="B31" t="s">
        <v>103</v>
      </c>
      <c r="C31" t="s">
        <v>104</v>
      </c>
      <c r="D31" t="s">
        <v>105</v>
      </c>
      <c r="E31" s="1">
        <v>3146.06</v>
      </c>
      <c r="F31" s="1">
        <v>0</v>
      </c>
      <c r="G31" s="1">
        <v>346.06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2800</v>
      </c>
    </row>
    <row r="32" spans="1:17" x14ac:dyDescent="0.25">
      <c r="A32" t="s">
        <v>106</v>
      </c>
      <c r="B32" t="s">
        <v>107</v>
      </c>
      <c r="C32" t="s">
        <v>108</v>
      </c>
      <c r="D32" t="s">
        <v>33</v>
      </c>
      <c r="E32" s="1">
        <v>3938.09</v>
      </c>
      <c r="F32" s="1">
        <v>0</v>
      </c>
      <c r="G32" s="1">
        <v>433.18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3504.91</v>
      </c>
    </row>
    <row r="33" spans="1:17" x14ac:dyDescent="0.25">
      <c r="A33" t="s">
        <v>109</v>
      </c>
      <c r="B33" t="s">
        <v>110</v>
      </c>
      <c r="C33" t="s">
        <v>111</v>
      </c>
      <c r="D33" t="s">
        <v>29</v>
      </c>
      <c r="E33" s="1">
        <v>2359.5500000000002</v>
      </c>
      <c r="F33" s="1">
        <v>0</v>
      </c>
      <c r="G33" s="1">
        <v>259.55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2100</v>
      </c>
    </row>
    <row r="34" spans="1:17" x14ac:dyDescent="0.25">
      <c r="A34" t="s">
        <v>112</v>
      </c>
      <c r="B34" t="s">
        <v>113</v>
      </c>
      <c r="C34" t="s">
        <v>114</v>
      </c>
      <c r="D34" t="s">
        <v>33</v>
      </c>
      <c r="E34" s="1">
        <v>2606.0700000000002</v>
      </c>
      <c r="F34" s="1">
        <v>0</v>
      </c>
      <c r="G34" s="1">
        <v>286.66000000000003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2319.41</v>
      </c>
    </row>
    <row r="35" spans="1:17" x14ac:dyDescent="0.25">
      <c r="A35" t="s">
        <v>115</v>
      </c>
      <c r="B35" t="s">
        <v>116</v>
      </c>
      <c r="C35" t="s">
        <v>117</v>
      </c>
      <c r="D35" t="s">
        <v>48</v>
      </c>
      <c r="E35" s="1">
        <v>5000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5000</v>
      </c>
    </row>
    <row r="36" spans="1:17" x14ac:dyDescent="0.25">
      <c r="A36" t="s">
        <v>118</v>
      </c>
      <c r="B36" t="s">
        <v>119</v>
      </c>
      <c r="C36" t="s">
        <v>120</v>
      </c>
      <c r="D36" t="s">
        <v>121</v>
      </c>
      <c r="E36" s="1">
        <v>2247.1799999999998</v>
      </c>
      <c r="F36" s="1">
        <v>0</v>
      </c>
      <c r="G36" s="1">
        <v>247.18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2000</v>
      </c>
    </row>
    <row r="37" spans="1:17" x14ac:dyDescent="0.25">
      <c r="A37" t="s">
        <v>122</v>
      </c>
      <c r="B37" t="s">
        <v>123</v>
      </c>
      <c r="C37" t="s">
        <v>124</v>
      </c>
      <c r="D37" t="s">
        <v>63</v>
      </c>
      <c r="E37" s="1">
        <v>2185.61</v>
      </c>
      <c r="F37" s="1">
        <v>0</v>
      </c>
      <c r="G37" s="1">
        <v>240.41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1945.2</v>
      </c>
    </row>
    <row r="38" spans="1:17" x14ac:dyDescent="0.25">
      <c r="A38" t="s">
        <v>125</v>
      </c>
      <c r="B38" t="s">
        <v>126</v>
      </c>
      <c r="C38" t="s">
        <v>127</v>
      </c>
      <c r="D38" t="s">
        <v>56</v>
      </c>
      <c r="E38" s="1">
        <v>2185.61</v>
      </c>
      <c r="F38" s="1">
        <v>0</v>
      </c>
      <c r="G38" s="1">
        <v>240.41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1945.2</v>
      </c>
    </row>
    <row r="39" spans="1:17" x14ac:dyDescent="0.25">
      <c r="A39" t="s">
        <v>128</v>
      </c>
      <c r="B39" t="s">
        <v>129</v>
      </c>
      <c r="C39" t="s">
        <v>130</v>
      </c>
      <c r="D39" t="s">
        <v>48</v>
      </c>
      <c r="E39" s="1">
        <v>2696.62</v>
      </c>
      <c r="F39" s="1">
        <v>0</v>
      </c>
      <c r="G39" s="1">
        <v>296.62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2400</v>
      </c>
    </row>
    <row r="40" spans="1:17" x14ac:dyDescent="0.25">
      <c r="A40" t="s">
        <v>131</v>
      </c>
      <c r="B40" t="s">
        <v>132</v>
      </c>
      <c r="C40" t="s">
        <v>133</v>
      </c>
      <c r="D40" t="s">
        <v>33</v>
      </c>
      <c r="E40" s="1">
        <v>2549.88</v>
      </c>
      <c r="F40" s="1">
        <v>0</v>
      </c>
      <c r="G40" s="1">
        <v>280.48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2269.4</v>
      </c>
    </row>
    <row r="41" spans="1:17" x14ac:dyDescent="0.25">
      <c r="A41" t="s">
        <v>134</v>
      </c>
      <c r="B41" t="s">
        <v>135</v>
      </c>
      <c r="C41" t="s">
        <v>136</v>
      </c>
      <c r="D41" t="s">
        <v>137</v>
      </c>
      <c r="E41" s="1">
        <v>4808.82</v>
      </c>
      <c r="F41" s="1">
        <v>0</v>
      </c>
      <c r="G41" s="1">
        <v>528.97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4279.8500000000004</v>
      </c>
    </row>
    <row r="42" spans="1:17" x14ac:dyDescent="0.25">
      <c r="A42" t="s">
        <v>138</v>
      </c>
      <c r="B42" t="s">
        <v>139</v>
      </c>
      <c r="C42" t="s">
        <v>140</v>
      </c>
      <c r="D42" t="s">
        <v>29</v>
      </c>
      <c r="E42" s="1">
        <v>2185.61</v>
      </c>
      <c r="F42" s="1">
        <v>0</v>
      </c>
      <c r="G42" s="1">
        <v>240.41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1945.2</v>
      </c>
    </row>
    <row r="43" spans="1:17" x14ac:dyDescent="0.25">
      <c r="A43" t="s">
        <v>141</v>
      </c>
      <c r="B43" t="s">
        <v>142</v>
      </c>
      <c r="C43" t="s">
        <v>143</v>
      </c>
      <c r="D43" t="s">
        <v>29</v>
      </c>
      <c r="E43" s="1">
        <v>2185.62</v>
      </c>
      <c r="F43" s="1">
        <v>0</v>
      </c>
      <c r="G43" s="1">
        <v>240.41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1945.21</v>
      </c>
    </row>
    <row r="44" spans="1:17" x14ac:dyDescent="0.25">
      <c r="A44" t="s">
        <v>144</v>
      </c>
      <c r="B44" t="s">
        <v>145</v>
      </c>
      <c r="C44" t="s">
        <v>146</v>
      </c>
      <c r="D44" t="s">
        <v>44</v>
      </c>
      <c r="E44" s="1">
        <v>2297.98</v>
      </c>
      <c r="F44" s="1">
        <v>0</v>
      </c>
      <c r="G44" s="1">
        <v>252.77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2045.21</v>
      </c>
    </row>
    <row r="45" spans="1:17" x14ac:dyDescent="0.25">
      <c r="A45" t="s">
        <v>147</v>
      </c>
      <c r="B45" t="s">
        <v>148</v>
      </c>
      <c r="C45" t="s">
        <v>149</v>
      </c>
      <c r="D45" t="s">
        <v>56</v>
      </c>
      <c r="E45" s="1">
        <v>2185.61</v>
      </c>
      <c r="F45" s="1">
        <v>0</v>
      </c>
      <c r="G45" s="1">
        <v>240.41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1945.2</v>
      </c>
    </row>
    <row r="46" spans="1:17" x14ac:dyDescent="0.25">
      <c r="A46" t="s">
        <v>150</v>
      </c>
      <c r="B46" t="s">
        <v>151</v>
      </c>
      <c r="C46" t="s">
        <v>152</v>
      </c>
      <c r="D46" t="s">
        <v>29</v>
      </c>
      <c r="E46" s="1">
        <v>2185.61</v>
      </c>
      <c r="F46" s="1">
        <v>0</v>
      </c>
      <c r="G46" s="1">
        <v>240.41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1945.2</v>
      </c>
    </row>
    <row r="47" spans="1:17" x14ac:dyDescent="0.25">
      <c r="A47" t="s">
        <v>153</v>
      </c>
      <c r="B47" t="s">
        <v>154</v>
      </c>
      <c r="C47" t="s">
        <v>155</v>
      </c>
      <c r="D47" t="s">
        <v>63</v>
      </c>
      <c r="E47" s="1">
        <v>2185.61</v>
      </c>
      <c r="F47" s="1">
        <v>0</v>
      </c>
      <c r="G47" s="1">
        <v>240.41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1945.2</v>
      </c>
    </row>
    <row r="48" spans="1:17" x14ac:dyDescent="0.25">
      <c r="A48" t="s">
        <v>156</v>
      </c>
      <c r="B48" t="s">
        <v>157</v>
      </c>
      <c r="C48" t="s">
        <v>158</v>
      </c>
      <c r="D48" t="s">
        <v>159</v>
      </c>
      <c r="E48" s="1">
        <v>2471.9</v>
      </c>
      <c r="F48" s="1">
        <v>0</v>
      </c>
      <c r="G48" s="1">
        <v>271.89999999999998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2200</v>
      </c>
    </row>
    <row r="49" spans="1:17" x14ac:dyDescent="0.25">
      <c r="A49" t="s">
        <v>160</v>
      </c>
      <c r="B49" t="s">
        <v>161</v>
      </c>
      <c r="C49" t="s">
        <v>162</v>
      </c>
      <c r="D49" t="s">
        <v>163</v>
      </c>
      <c r="E49" s="1">
        <v>4093.48</v>
      </c>
      <c r="F49" s="1">
        <v>0</v>
      </c>
      <c r="G49" s="1">
        <v>450.28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3643.2</v>
      </c>
    </row>
    <row r="50" spans="1:17" x14ac:dyDescent="0.25">
      <c r="A50" t="s">
        <v>164</v>
      </c>
      <c r="B50" t="s">
        <v>165</v>
      </c>
      <c r="C50" t="s">
        <v>166</v>
      </c>
      <c r="D50" t="s">
        <v>33</v>
      </c>
      <c r="E50" s="1">
        <v>2808.98</v>
      </c>
      <c r="F50" s="1">
        <v>0</v>
      </c>
      <c r="G50" s="1">
        <v>308.98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2500</v>
      </c>
    </row>
    <row r="51" spans="1:17" x14ac:dyDescent="0.25">
      <c r="A51" t="s">
        <v>167</v>
      </c>
      <c r="B51" t="s">
        <v>168</v>
      </c>
      <c r="C51" t="s">
        <v>169</v>
      </c>
      <c r="D51" t="s">
        <v>56</v>
      </c>
      <c r="E51" s="1">
        <v>2182.2399999999998</v>
      </c>
      <c r="F51" s="1">
        <v>0</v>
      </c>
      <c r="G51" s="1">
        <v>240.04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1942.2</v>
      </c>
    </row>
    <row r="52" spans="1:17" x14ac:dyDescent="0.25">
      <c r="A52" t="s">
        <v>170</v>
      </c>
      <c r="B52" t="s">
        <v>171</v>
      </c>
      <c r="C52" t="s">
        <v>172</v>
      </c>
      <c r="D52" t="s">
        <v>29</v>
      </c>
      <c r="E52" s="1">
        <v>2549.88</v>
      </c>
      <c r="F52" s="1">
        <v>0</v>
      </c>
      <c r="G52" s="1">
        <v>280.48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2269.4</v>
      </c>
    </row>
    <row r="53" spans="1:17" x14ac:dyDescent="0.25">
      <c r="A53" t="s">
        <v>173</v>
      </c>
      <c r="B53" t="s">
        <v>174</v>
      </c>
      <c r="C53" t="s">
        <v>175</v>
      </c>
      <c r="D53" t="s">
        <v>63</v>
      </c>
      <c r="E53" s="1">
        <v>2359.5500000000002</v>
      </c>
      <c r="F53" s="1">
        <v>0</v>
      </c>
      <c r="G53" s="1">
        <v>259.55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2100</v>
      </c>
    </row>
    <row r="54" spans="1:17" x14ac:dyDescent="0.25">
      <c r="A54" t="s">
        <v>176</v>
      </c>
      <c r="B54" t="s">
        <v>177</v>
      </c>
      <c r="C54" t="s">
        <v>178</v>
      </c>
      <c r="D54" t="s">
        <v>44</v>
      </c>
      <c r="E54" s="1">
        <v>2297.75</v>
      </c>
      <c r="F54" s="1">
        <v>0</v>
      </c>
      <c r="G54" s="1">
        <v>252.75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2045</v>
      </c>
    </row>
    <row r="55" spans="1:17" x14ac:dyDescent="0.25">
      <c r="A55" t="s">
        <v>179</v>
      </c>
      <c r="B55" t="s">
        <v>180</v>
      </c>
      <c r="C55" t="s">
        <v>181</v>
      </c>
      <c r="D55" t="s">
        <v>182</v>
      </c>
      <c r="E55" s="1">
        <v>2174.38</v>
      </c>
      <c r="F55" s="1">
        <v>0</v>
      </c>
      <c r="G55" s="1">
        <v>239.18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1935.2</v>
      </c>
    </row>
    <row r="56" spans="1:17" x14ac:dyDescent="0.25">
      <c r="A56" t="s">
        <v>183</v>
      </c>
      <c r="B56" t="s">
        <v>184</v>
      </c>
      <c r="C56" t="s">
        <v>185</v>
      </c>
      <c r="D56" t="s">
        <v>56</v>
      </c>
      <c r="E56" s="1">
        <v>2913.93</v>
      </c>
      <c r="F56" s="1">
        <v>0</v>
      </c>
      <c r="G56" s="1">
        <v>320.52999999999997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2593.4</v>
      </c>
    </row>
    <row r="57" spans="1:17" x14ac:dyDescent="0.25">
      <c r="A57" t="s">
        <v>186</v>
      </c>
      <c r="B57" t="s">
        <v>187</v>
      </c>
      <c r="C57" t="s">
        <v>188</v>
      </c>
      <c r="D57" t="s">
        <v>189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210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210</v>
      </c>
    </row>
    <row r="58" spans="1:17" x14ac:dyDescent="0.25">
      <c r="A58" t="s">
        <v>186</v>
      </c>
      <c r="B58" t="s">
        <v>187</v>
      </c>
      <c r="C58" t="s">
        <v>188</v>
      </c>
      <c r="D58" t="s">
        <v>189</v>
      </c>
      <c r="E58" s="1">
        <v>2471.91</v>
      </c>
      <c r="F58" s="1">
        <v>0</v>
      </c>
      <c r="G58" s="1">
        <v>271.91000000000003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2200</v>
      </c>
    </row>
    <row r="59" spans="1:17" x14ac:dyDescent="0.25">
      <c r="A59" t="s">
        <v>190</v>
      </c>
      <c r="B59" t="s">
        <v>191</v>
      </c>
      <c r="C59" t="s">
        <v>192</v>
      </c>
      <c r="D59" t="s">
        <v>56</v>
      </c>
      <c r="E59" s="1">
        <v>2607.86</v>
      </c>
      <c r="F59" s="1">
        <v>0</v>
      </c>
      <c r="G59" s="1">
        <v>286.86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2321</v>
      </c>
    </row>
    <row r="60" spans="1:17" x14ac:dyDescent="0.25">
      <c r="A60" t="s">
        <v>193</v>
      </c>
      <c r="B60" t="s">
        <v>194</v>
      </c>
      <c r="C60" t="s">
        <v>195</v>
      </c>
      <c r="D60" t="s">
        <v>63</v>
      </c>
      <c r="E60" s="1">
        <v>1821.34</v>
      </c>
      <c r="F60" s="1">
        <v>0</v>
      </c>
      <c r="G60" s="1">
        <v>200.34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1621</v>
      </c>
    </row>
    <row r="61" spans="1:17" x14ac:dyDescent="0.25">
      <c r="A61" t="s">
        <v>196</v>
      </c>
      <c r="B61" t="s">
        <v>197</v>
      </c>
      <c r="C61" t="s">
        <v>198</v>
      </c>
      <c r="D61" t="s">
        <v>56</v>
      </c>
      <c r="E61" s="1">
        <v>2549.88</v>
      </c>
      <c r="F61" s="1">
        <v>0</v>
      </c>
      <c r="G61" s="1">
        <v>280.48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2269.4</v>
      </c>
    </row>
    <row r="62" spans="1:17" x14ac:dyDescent="0.25">
      <c r="A62" t="s">
        <v>199</v>
      </c>
      <c r="B62" t="s">
        <v>200</v>
      </c>
      <c r="C62" t="s">
        <v>201</v>
      </c>
      <c r="D62" t="s">
        <v>44</v>
      </c>
      <c r="E62" s="1">
        <v>1821.34</v>
      </c>
      <c r="F62" s="1">
        <v>0</v>
      </c>
      <c r="G62" s="1">
        <v>200.34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1621</v>
      </c>
    </row>
    <row r="63" spans="1:17" x14ac:dyDescent="0.25">
      <c r="A63" t="s">
        <v>202</v>
      </c>
      <c r="B63" t="s">
        <v>203</v>
      </c>
      <c r="C63" t="s">
        <v>204</v>
      </c>
      <c r="D63" t="s">
        <v>205</v>
      </c>
      <c r="E63" s="1">
        <v>4099.32</v>
      </c>
      <c r="F63" s="1">
        <v>0</v>
      </c>
      <c r="G63" s="1">
        <v>450.92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3648.4</v>
      </c>
    </row>
    <row r="64" spans="1:17" x14ac:dyDescent="0.25">
      <c r="A64" t="s">
        <v>206</v>
      </c>
      <c r="B64" t="s">
        <v>207</v>
      </c>
      <c r="C64" t="s">
        <v>208</v>
      </c>
      <c r="D64" t="s">
        <v>209</v>
      </c>
      <c r="E64" s="1">
        <v>1821.34</v>
      </c>
      <c r="F64" s="1">
        <v>0</v>
      </c>
      <c r="G64" s="1">
        <v>200.34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1621</v>
      </c>
    </row>
    <row r="65" spans="1:17" x14ac:dyDescent="0.25">
      <c r="A65" t="s">
        <v>210</v>
      </c>
      <c r="B65" t="s">
        <v>211</v>
      </c>
      <c r="C65" t="s">
        <v>212</v>
      </c>
      <c r="D65" t="s">
        <v>29</v>
      </c>
      <c r="E65" s="1">
        <v>2185.61</v>
      </c>
      <c r="F65" s="1">
        <v>0</v>
      </c>
      <c r="G65" s="1">
        <v>240.41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1945.2</v>
      </c>
    </row>
    <row r="66" spans="1:17" x14ac:dyDescent="0.25">
      <c r="A66" t="s">
        <v>213</v>
      </c>
      <c r="B66" t="s">
        <v>214</v>
      </c>
      <c r="C66" t="s">
        <v>215</v>
      </c>
      <c r="D66" t="s">
        <v>48</v>
      </c>
      <c r="E66" s="1">
        <v>2732.02</v>
      </c>
      <c r="F66" s="1">
        <v>0</v>
      </c>
      <c r="G66" s="1">
        <v>300.52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2431.5</v>
      </c>
    </row>
    <row r="67" spans="1:17" x14ac:dyDescent="0.25">
      <c r="A67" t="s">
        <v>216</v>
      </c>
      <c r="B67" t="s">
        <v>217</v>
      </c>
      <c r="C67" t="s">
        <v>218</v>
      </c>
      <c r="D67" t="s">
        <v>29</v>
      </c>
      <c r="E67" s="1">
        <v>2387.86</v>
      </c>
      <c r="F67" s="1">
        <v>0</v>
      </c>
      <c r="G67" s="1">
        <v>262.66000000000003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2125.1999999999998</v>
      </c>
    </row>
    <row r="68" spans="1:17" x14ac:dyDescent="0.25">
      <c r="A68" t="s">
        <v>219</v>
      </c>
      <c r="B68" t="s">
        <v>220</v>
      </c>
      <c r="C68" t="s">
        <v>221</v>
      </c>
      <c r="D68" t="s">
        <v>137</v>
      </c>
      <c r="E68" s="1">
        <v>4808.82</v>
      </c>
      <c r="F68" s="1">
        <v>0</v>
      </c>
      <c r="G68" s="1">
        <v>528.97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4279.8500000000004</v>
      </c>
    </row>
    <row r="69" spans="1:17" x14ac:dyDescent="0.25">
      <c r="A69" t="s">
        <v>222</v>
      </c>
      <c r="B69" t="s">
        <v>223</v>
      </c>
      <c r="C69" t="s">
        <v>224</v>
      </c>
      <c r="D69" t="s">
        <v>48</v>
      </c>
      <c r="E69" s="1">
        <v>2584.2600000000002</v>
      </c>
      <c r="F69" s="1">
        <v>0</v>
      </c>
      <c r="G69" s="1">
        <v>284.26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2300</v>
      </c>
    </row>
    <row r="70" spans="1:17" x14ac:dyDescent="0.25">
      <c r="A70" t="s">
        <v>225</v>
      </c>
      <c r="B70" t="s">
        <v>226</v>
      </c>
      <c r="C70" t="s">
        <v>227</v>
      </c>
      <c r="D70" t="s">
        <v>29</v>
      </c>
      <c r="E70" s="1">
        <v>2549.89</v>
      </c>
      <c r="F70" s="1">
        <v>0</v>
      </c>
      <c r="G70" s="1">
        <v>280.48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2269.41</v>
      </c>
    </row>
    <row r="71" spans="1:17" x14ac:dyDescent="0.25">
      <c r="A71" t="s">
        <v>228</v>
      </c>
      <c r="B71" t="s">
        <v>229</v>
      </c>
      <c r="C71" t="s">
        <v>230</v>
      </c>
      <c r="D71" t="s">
        <v>48</v>
      </c>
      <c r="E71" s="1">
        <v>2185.61</v>
      </c>
      <c r="F71" s="1">
        <v>0</v>
      </c>
      <c r="G71" s="1">
        <v>240.41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1945.2</v>
      </c>
    </row>
    <row r="72" spans="1:17" x14ac:dyDescent="0.25">
      <c r="A72" t="s">
        <v>231</v>
      </c>
      <c r="B72" t="s">
        <v>232</v>
      </c>
      <c r="C72" t="s">
        <v>233</v>
      </c>
      <c r="D72" t="s">
        <v>33</v>
      </c>
      <c r="E72" s="1">
        <v>3890.78</v>
      </c>
      <c r="F72" s="1">
        <v>0</v>
      </c>
      <c r="G72" s="1">
        <v>427.98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3462.8</v>
      </c>
    </row>
    <row r="73" spans="1:17" x14ac:dyDescent="0.25">
      <c r="A73" t="s">
        <v>234</v>
      </c>
      <c r="B73" t="s">
        <v>235</v>
      </c>
      <c r="C73" t="s">
        <v>236</v>
      </c>
      <c r="D73" t="s">
        <v>105</v>
      </c>
      <c r="E73" s="1">
        <v>2471.9</v>
      </c>
      <c r="F73" s="1">
        <v>0</v>
      </c>
      <c r="G73" s="1">
        <v>271.89999999999998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2200</v>
      </c>
    </row>
    <row r="74" spans="1:17" x14ac:dyDescent="0.25">
      <c r="A74" t="s">
        <v>237</v>
      </c>
      <c r="B74" t="s">
        <v>238</v>
      </c>
      <c r="C74" t="s">
        <v>239</v>
      </c>
      <c r="D74" t="s">
        <v>52</v>
      </c>
      <c r="E74" s="1">
        <v>2549.88</v>
      </c>
      <c r="F74" s="1">
        <v>0</v>
      </c>
      <c r="G74" s="1">
        <v>280.48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2269.4</v>
      </c>
    </row>
    <row r="75" spans="1:17" x14ac:dyDescent="0.25">
      <c r="A75" t="s">
        <v>240</v>
      </c>
      <c r="B75" t="s">
        <v>241</v>
      </c>
      <c r="C75" t="s">
        <v>242</v>
      </c>
      <c r="D75" t="s">
        <v>63</v>
      </c>
      <c r="E75" s="1">
        <v>2046.4</v>
      </c>
      <c r="F75" s="1">
        <v>0</v>
      </c>
      <c r="G75" s="1">
        <v>225.1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1821.3</v>
      </c>
    </row>
    <row r="76" spans="1:17" x14ac:dyDescent="0.25">
      <c r="A76" t="s">
        <v>243</v>
      </c>
      <c r="B76" t="s">
        <v>244</v>
      </c>
      <c r="C76" t="s">
        <v>245</v>
      </c>
      <c r="D76" t="s">
        <v>33</v>
      </c>
      <c r="E76" s="1">
        <v>2185.61</v>
      </c>
      <c r="F76" s="1">
        <v>0</v>
      </c>
      <c r="G76" s="1">
        <v>240.41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1945.2</v>
      </c>
    </row>
    <row r="77" spans="1:17" x14ac:dyDescent="0.25">
      <c r="A77" t="s">
        <v>246</v>
      </c>
      <c r="B77" t="s">
        <v>247</v>
      </c>
      <c r="C77" t="s">
        <v>248</v>
      </c>
      <c r="D77" t="s">
        <v>249</v>
      </c>
      <c r="E77" s="1">
        <v>2471.9</v>
      </c>
      <c r="F77" s="1">
        <v>0</v>
      </c>
      <c r="G77" s="1">
        <v>271.89999999999998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2200</v>
      </c>
    </row>
    <row r="78" spans="1:17" x14ac:dyDescent="0.25">
      <c r="A78" t="s">
        <v>250</v>
      </c>
      <c r="B78" t="s">
        <v>251</v>
      </c>
      <c r="C78" t="s">
        <v>252</v>
      </c>
      <c r="D78" t="s">
        <v>40</v>
      </c>
      <c r="E78" s="1">
        <v>2185.61</v>
      </c>
      <c r="F78" s="1">
        <v>0</v>
      </c>
      <c r="G78" s="1">
        <v>240.41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1945.2</v>
      </c>
    </row>
    <row r="79" spans="1:17" x14ac:dyDescent="0.25">
      <c r="A79" t="s">
        <v>253</v>
      </c>
      <c r="B79" t="s">
        <v>254</v>
      </c>
      <c r="C79" t="s">
        <v>255</v>
      </c>
      <c r="D79" t="s">
        <v>163</v>
      </c>
      <c r="E79" s="1">
        <v>2185.61</v>
      </c>
      <c r="F79" s="1">
        <v>0</v>
      </c>
      <c r="G79" s="1">
        <v>240.41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1945.2</v>
      </c>
    </row>
    <row r="80" spans="1:17" x14ac:dyDescent="0.25">
      <c r="A80" t="s">
        <v>256</v>
      </c>
      <c r="B80" t="s">
        <v>257</v>
      </c>
      <c r="C80" t="s">
        <v>258</v>
      </c>
      <c r="D80" t="s">
        <v>259</v>
      </c>
      <c r="E80" s="1">
        <v>5000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5000</v>
      </c>
    </row>
    <row r="81" spans="1:17" x14ac:dyDescent="0.25">
      <c r="A81" t="s">
        <v>260</v>
      </c>
      <c r="B81" t="s">
        <v>261</v>
      </c>
      <c r="C81" t="s">
        <v>262</v>
      </c>
      <c r="D81" t="s">
        <v>63</v>
      </c>
      <c r="E81" s="1">
        <v>2185.61</v>
      </c>
      <c r="F81" s="1">
        <v>0</v>
      </c>
      <c r="G81" s="1">
        <v>240.41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1945.2</v>
      </c>
    </row>
    <row r="82" spans="1:17" x14ac:dyDescent="0.25">
      <c r="A82" t="s">
        <v>263</v>
      </c>
      <c r="B82" t="s">
        <v>264</v>
      </c>
      <c r="C82" t="s">
        <v>265</v>
      </c>
      <c r="D82" t="s">
        <v>266</v>
      </c>
      <c r="E82" s="1">
        <v>2471.9</v>
      </c>
      <c r="F82" s="1">
        <v>0</v>
      </c>
      <c r="G82" s="1">
        <v>271.89999999999998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2200</v>
      </c>
    </row>
    <row r="83" spans="1:17" x14ac:dyDescent="0.25">
      <c r="A83" t="s">
        <v>267</v>
      </c>
      <c r="B83" t="s">
        <v>268</v>
      </c>
      <c r="C83" t="s">
        <v>269</v>
      </c>
      <c r="D83" t="s">
        <v>48</v>
      </c>
      <c r="E83" s="1">
        <v>1821.34</v>
      </c>
      <c r="F83" s="1">
        <v>0</v>
      </c>
      <c r="G83" s="1">
        <v>200.34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1621</v>
      </c>
    </row>
    <row r="84" spans="1:17" x14ac:dyDescent="0.25">
      <c r="A84" t="s">
        <v>270</v>
      </c>
      <c r="B84" t="s">
        <v>271</v>
      </c>
      <c r="C84" t="s">
        <v>272</v>
      </c>
      <c r="D84" t="s">
        <v>48</v>
      </c>
      <c r="E84" s="1">
        <v>2808.98</v>
      </c>
      <c r="F84" s="1">
        <v>0</v>
      </c>
      <c r="G84" s="1">
        <v>308.98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2500</v>
      </c>
    </row>
    <row r="85" spans="1:17" x14ac:dyDescent="0.25">
      <c r="A85" t="s">
        <v>273</v>
      </c>
      <c r="B85" t="s">
        <v>274</v>
      </c>
      <c r="C85" t="s">
        <v>275</v>
      </c>
      <c r="D85" t="s">
        <v>29</v>
      </c>
      <c r="E85" s="1">
        <v>2549.88</v>
      </c>
      <c r="F85" s="1">
        <v>0</v>
      </c>
      <c r="G85" s="1">
        <v>280.48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2269.4</v>
      </c>
    </row>
    <row r="87" spans="1:17" x14ac:dyDescent="0.25">
      <c r="E87" s="2" t="s">
        <v>9</v>
      </c>
      <c r="F87" s="2" t="s">
        <v>10</v>
      </c>
      <c r="G87" s="2" t="s">
        <v>11</v>
      </c>
      <c r="H87" s="2" t="s">
        <v>12</v>
      </c>
      <c r="I87" s="2" t="s">
        <v>13</v>
      </c>
      <c r="J87" s="2" t="s">
        <v>14</v>
      </c>
      <c r="K87" s="2" t="s">
        <v>15</v>
      </c>
      <c r="L87" s="2" t="s">
        <v>16</v>
      </c>
      <c r="M87" s="2" t="s">
        <v>17</v>
      </c>
      <c r="N87" s="2" t="s">
        <v>18</v>
      </c>
      <c r="O87" s="2" t="s">
        <v>19</v>
      </c>
      <c r="P87" s="2" t="s">
        <v>20</v>
      </c>
      <c r="Q87" s="2" t="s">
        <v>21</v>
      </c>
    </row>
    <row r="88" spans="1:17" x14ac:dyDescent="0.25">
      <c r="D88" s="3" t="s">
        <v>276</v>
      </c>
      <c r="E88" s="4">
        <f>SUM(E8:E85)</f>
        <v>203619.72999999986</v>
      </c>
      <c r="F88" s="4">
        <f t="shared" ref="F88:Q88" si="0">SUM(F8:F85)</f>
        <v>0</v>
      </c>
      <c r="G88" s="4">
        <f t="shared" si="0"/>
        <v>20710.649999999998</v>
      </c>
      <c r="H88" s="4">
        <f t="shared" si="0"/>
        <v>0</v>
      </c>
      <c r="I88" s="4">
        <f t="shared" si="0"/>
        <v>0</v>
      </c>
      <c r="J88" s="4">
        <f t="shared" si="0"/>
        <v>0</v>
      </c>
      <c r="K88" s="4">
        <f t="shared" si="0"/>
        <v>210</v>
      </c>
      <c r="L88" s="4">
        <f t="shared" si="0"/>
        <v>0</v>
      </c>
      <c r="M88" s="4">
        <f t="shared" si="0"/>
        <v>0</v>
      </c>
      <c r="N88" s="4">
        <f t="shared" si="0"/>
        <v>0</v>
      </c>
      <c r="O88" s="4">
        <f t="shared" si="0"/>
        <v>0</v>
      </c>
      <c r="P88" s="4">
        <f t="shared" si="0"/>
        <v>0</v>
      </c>
      <c r="Q88" s="4">
        <f t="shared" si="0"/>
        <v>184782.19000000003</v>
      </c>
    </row>
  </sheetData>
  <pageMargins left="0.75" right="0.75" top="0.75" bottom="0.5" header="0.5" footer="0.75"/>
  <ignoredErrors>
    <ignoredError sqref="A1:Q7 A10:Q86 A9 C9:D9 H9:Q9 F9 A8:F8 H8:Q8 A89:Q263 A87:D87 A88:C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Dinamico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David</cp:lastModifiedBy>
  <dcterms:created xsi:type="dcterms:W3CDTF">2026-08-25T18:42:16Z</dcterms:created>
  <dcterms:modified xsi:type="dcterms:W3CDTF">2026-09-01T18:55:32Z</dcterms:modified>
</cp:coreProperties>
</file>